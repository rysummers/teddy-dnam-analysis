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_summers/Library/Mobile Documents/com~apple~CloudDocs/GitHub/teddy-dnam-analysis/docs/"/>
    </mc:Choice>
  </mc:AlternateContent>
  <xr:revisionPtr revIDLastSave="0" documentId="8_{E4104F0A-A374-E541-930B-424F2D7F0959}" xr6:coauthVersionLast="47" xr6:coauthVersionMax="47" xr10:uidLastSave="{00000000-0000-0000-0000-000000000000}"/>
  <bookViews>
    <workbookView xWindow="8780" yWindow="660" windowWidth="18280" windowHeight="15560" xr2:uid="{C4ABE68E-E908-5C4C-90D3-515013467B5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D3" i="1"/>
  <c r="D4" i="1"/>
  <c r="C4" i="1"/>
  <c r="C3" i="1"/>
  <c r="B3" i="1"/>
  <c r="B4" i="1"/>
  <c r="D5" i="1"/>
  <c r="D6" i="1"/>
  <c r="D7" i="1"/>
  <c r="D8" i="1"/>
  <c r="D2" i="1"/>
  <c r="E5" i="1"/>
  <c r="C8" i="1"/>
  <c r="C7" i="1"/>
  <c r="C6" i="1"/>
  <c r="C5" i="1"/>
  <c r="B5" i="1"/>
  <c r="B6" i="1"/>
  <c r="B7" i="1"/>
  <c r="B8" i="1"/>
  <c r="B2" i="1"/>
  <c r="E2" i="1" s="1"/>
  <c r="C2" i="1"/>
  <c r="E6" i="1" l="1"/>
  <c r="E7" i="1"/>
  <c r="E8" i="1"/>
</calcChain>
</file>

<file path=xl/sharedStrings.xml><?xml version="1.0" encoding="utf-8"?>
<sst xmlns="http://schemas.openxmlformats.org/spreadsheetml/2006/main" count="9" uniqueCount="9">
  <si>
    <t>ln2</t>
  </si>
  <si>
    <t>Slope (M-value)</t>
  </si>
  <si>
    <t>rate of change</t>
  </si>
  <si>
    <t>cg25556035</t>
  </si>
  <si>
    <t>cg13316472</t>
  </si>
  <si>
    <t>CpG</t>
  </si>
  <si>
    <t>M--value (LMM)</t>
  </si>
  <si>
    <t>Beta (t)</t>
  </si>
  <si>
    <t>(1-Beta(t))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</si>
</sst>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00000"/>
  </numFmts>
  <fonts count="2" x14ac:knownFonts="1">
    <font>
      <sz val="12"/>
      <color theme="1"/>
      <name val="Aptos Narrow"/>
      <family val="2"/>
      <scheme val="minor"/>
    </font>
    <font>
      <sz val="11"/>
      <color theme="1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2D8A3-074B-1C49-8905-DA25FD83821B}">
  <dimension ref="A1:E12"/>
  <sheetViews>
    <sheetView tabSelected="1" zoomScale="140" zoomScaleNormal="140" workbookViewId="0">
      <selection activeCell="D4" sqref="D4"/>
    </sheetView>
  </sheetViews>
  <sheetFormatPr baseColWidth="10" defaultRowHeight="16" x14ac:dyDescent="0.2"/>
  <cols>
    <col min="2" max="2" width="10.1640625" customWidth="1"/>
    <col min="3" max="4" width="12.5" customWidth="1"/>
    <col min="5" max="5" width="15.6640625" customWidth="1"/>
  </cols>
  <sheetData>
    <row r="1" spans="1:5" x14ac:dyDescent="0.2">
      <c r="A1" t="s">
        <v>7</v>
      </c>
      <c r="B1" t="s">
        <v>8</v>
      </c>
      <c r="C1" t="s">
        <v>0</v>
      </c>
      <c r="D1" t="s">
        <v>1</v>
      </c>
      <c r="E1" t="s">
        <v>2</v>
      </c>
    </row>
    <row r="2" spans="1:5" x14ac:dyDescent="0.2">
      <c r="A2">
        <v>0.1</v>
      </c>
      <c r="B2">
        <f>1-A2</f>
        <v>0.9</v>
      </c>
      <c r="C2">
        <f>LN(2)</f>
        <v>0.69314718055994529</v>
      </c>
      <c r="D2">
        <f>$D$11</f>
        <v>1.2393173</v>
      </c>
      <c r="E2" s="1">
        <f>A2*B2*C2*D2</f>
        <v>7.7312636308274757E-2</v>
      </c>
    </row>
    <row r="3" spans="1:5" x14ac:dyDescent="0.2">
      <c r="A3">
        <v>0.15</v>
      </c>
      <c r="B3">
        <f t="shared" ref="B3:B4" si="0">1-A3</f>
        <v>0.85</v>
      </c>
      <c r="C3">
        <f t="shared" ref="C3:C4" si="1">LN(2)</f>
        <v>0.69314718055994529</v>
      </c>
      <c r="D3">
        <f t="shared" ref="D3:D4" si="2">$D$11</f>
        <v>1.2393173</v>
      </c>
      <c r="E3" s="1">
        <f t="shared" ref="E3:E4" si="3">A3*B3*C3*D3</f>
        <v>0.10952623477005589</v>
      </c>
    </row>
    <row r="4" spans="1:5" x14ac:dyDescent="0.2">
      <c r="A4">
        <v>0.2</v>
      </c>
      <c r="B4">
        <f t="shared" si="0"/>
        <v>0.8</v>
      </c>
      <c r="C4">
        <f t="shared" si="1"/>
        <v>0.69314718055994529</v>
      </c>
      <c r="D4">
        <f t="shared" si="2"/>
        <v>1.2393173</v>
      </c>
      <c r="E4" s="1">
        <f t="shared" si="3"/>
        <v>0.13744468677026625</v>
      </c>
    </row>
    <row r="5" spans="1:5" x14ac:dyDescent="0.2">
      <c r="A5">
        <v>0.25</v>
      </c>
      <c r="B5">
        <f t="shared" ref="B5:B8" si="4">1-A5</f>
        <v>0.75</v>
      </c>
      <c r="C5">
        <f t="shared" ref="C5:C8" si="5">LN(2)</f>
        <v>0.69314718055994529</v>
      </c>
      <c r="D5">
        <f>$D$11</f>
        <v>1.2393173</v>
      </c>
      <c r="E5" s="1">
        <f t="shared" ref="E5:E8" si="6">A5*B5*C5*D5</f>
        <v>0.1610679923089057</v>
      </c>
    </row>
    <row r="6" spans="1:5" x14ac:dyDescent="0.2">
      <c r="A6">
        <v>0.5</v>
      </c>
      <c r="B6">
        <f t="shared" si="4"/>
        <v>0.5</v>
      </c>
      <c r="C6">
        <f t="shared" si="5"/>
        <v>0.69314718055994529</v>
      </c>
      <c r="D6">
        <f>$D$11</f>
        <v>1.2393173</v>
      </c>
      <c r="E6" s="1">
        <f t="shared" si="6"/>
        <v>0.21475732307854095</v>
      </c>
    </row>
    <row r="7" spans="1:5" x14ac:dyDescent="0.2">
      <c r="A7">
        <v>0.75</v>
      </c>
      <c r="B7">
        <f t="shared" si="4"/>
        <v>0.25</v>
      </c>
      <c r="C7">
        <f t="shared" si="5"/>
        <v>0.69314718055994529</v>
      </c>
      <c r="D7">
        <f>$D$11</f>
        <v>1.2393173</v>
      </c>
      <c r="E7" s="1">
        <f t="shared" si="6"/>
        <v>0.1610679923089057</v>
      </c>
    </row>
    <row r="8" spans="1:5" x14ac:dyDescent="0.2">
      <c r="A8">
        <v>0.9</v>
      </c>
      <c r="B8">
        <f t="shared" si="4"/>
        <v>9.9999999999999978E-2</v>
      </c>
      <c r="C8">
        <f t="shared" si="5"/>
        <v>0.69314718055994529</v>
      </c>
      <c r="D8">
        <f>$D$11</f>
        <v>1.2393173</v>
      </c>
      <c r="E8" s="1">
        <f t="shared" si="6"/>
        <v>7.7312636308274729E-2</v>
      </c>
    </row>
    <row r="10" spans="1:5" x14ac:dyDescent="0.2">
      <c r="C10" t="s">
        <v>5</v>
      </c>
      <c r="D10" t="s">
        <v>6</v>
      </c>
    </row>
    <row r="11" spans="1:5" x14ac:dyDescent="0.2">
      <c r="C11" t="s">
        <v>3</v>
      </c>
      <c r="D11" s="2">
        <v>1.2393173</v>
      </c>
    </row>
    <row r="12" spans="1:5" x14ac:dyDescent="0.2">
      <c r="C12" s="2" t="s">
        <v>4</v>
      </c>
      <c r="D12" s="2">
        <v>3.042853E-4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Summers</dc:creator>
  <cp:lastModifiedBy>Ryan Summers</cp:lastModifiedBy>
  <dcterms:created xsi:type="dcterms:W3CDTF">2026-05-13T16:12:39Z</dcterms:created>
  <dcterms:modified xsi:type="dcterms:W3CDTF">2026-05-13T19:08:07Z</dcterms:modified>
</cp:coreProperties>
</file>